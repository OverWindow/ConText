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d0638417f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금흐름" sheetId="1" r:id="Re7836faac2d5472d"/>
    <x:sheet xmlns:r="http://schemas.openxmlformats.org/officeDocument/2006/relationships" name="고객목록" sheetId="2" r:id="R9e7bd059ea89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#,##0;(#,##0);&quot;-&quot;"/>
    <x:numFmt numFmtId="202" formatCode="0.0"/>
    <x:numFmt numFmtId="203" formatCode="#,##0"/>
    <x:numFmt numFmtId="204" formatCode="yyyy-mm-dd"/>
  </x:numFmts>
  <x:fonts count="9">
    <x:font>
      <x:sz val="11"/>
      <x:name val="Carlito"/>
    </x:font>
    <x:font>
      <x:sz val="10"/>
      <x:color rgb="FF243630"/>
      <x:name val="Arial Unicode MS"/>
    </x:font>
    <x:font>
      <x:b/>
      <x:sz val="15"/>
      <x:color rgb="FF243630"/>
      <x:name val="Arial Unicode MS"/>
    </x:font>
    <x:font>
      <x:sz val="9"/>
      <x:color rgb="FF68786E"/>
      <x:name val="Arial Unicode MS"/>
    </x:font>
    <x:font>
      <x:b/>
      <x:sz val="10"/>
      <x:color rgb="FFFFFFFF"/>
      <x:name val="Arial Unicode MS"/>
    </x:font>
    <x:font>
      <x:b/>
      <x:sz val="10"/>
      <x:color rgb="FF243630"/>
      <x:name val="Arial Unicode MS"/>
    </x:font>
    <x:font>
      <x:sz val="10"/>
      <x:color rgb="FF1458C0"/>
      <x:name val="Arial Unicode MS"/>
    </x:font>
    <x:font>
      <x:sz val="10"/>
      <x:color rgb="FF16804C"/>
      <x:name val="Arial Unicode MS"/>
    </x:font>
    <x:font>
      <x:i/>
      <x:sz val="10"/>
      <x:color rgb="FF243630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126B5A"/>
      </x:patternFill>
    </x:fill>
    <x:fill>
      <x:patternFill patternType="solid">
        <x:fgColor rgb="FFEFF6EF"/>
      </x:patternFill>
    </x:fill>
    <x:fill>
      <x:patternFill patternType="solid">
        <x:fgColor rgb="FFE7EEEA"/>
      </x:patternFill>
    </x:fill>
    <x:fill>
      <x:patternFill patternType="solid">
        <x:fgColor rgb="FFE9F4E8"/>
      </x:patternFill>
    </x:fill>
    <x:fill>
      <x:patternFill patternType="solid">
        <x:fgColor rgb="FFFFF5D8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B9CAC0"/>
      </x:top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0" fontId="5" fillId="5" borderId="1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horizontal="right" vertical="center"/>
    </x:xf>
    <x:xf numFmtId="201" fontId="6" fillId="6" borderId="0" xfId="0" applyNumberFormat="1" applyFont="1" applyFill="1" applyBorder="1" applyAlignment="1">
      <x:alignment horizontal="right" vertical="center"/>
    </x:xf>
    <x:xf numFmtId="203" fontId="6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AD3434"/>
      </x:font>
      <x:fill>
        <x:patternFill patternType="solid">
          <x:bgColor rgb="FFFDE9E7"/>
        </x:patternFill>
      </x:fill>
    </x:dxf>
    <x:dxf>
      <x:font>
        <x:color rgb="FF8F6721"/>
      </x:font>
      <x:fill>
        <x:patternFill patternType="solid">
          <x:bgColor rgb="FFFFF5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1079689dc4649" /><Relationship Type="http://schemas.openxmlformats.org/officeDocument/2006/relationships/theme" Target="/xl/theme/theme1.xml" Id="R4c1011945a01480f" /><Relationship Type="http://schemas.openxmlformats.org/officeDocument/2006/relationships/sharedStrings" Target="/xl/sharedStrings.xml" Id="Rc8e847019e384d13" /><Relationship Type="http://schemas.openxmlformats.org/officeDocument/2006/relationships/worksheet" Target="/xl/worksheets/sheet1.xml" Id="Re7836faac2d5472d" /><Relationship Type="http://schemas.openxmlformats.org/officeDocument/2006/relationships/worksheet" Target="/xl/worksheets/sheet2.xml" Id="R9e7bd059ea89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6B5A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</x:cols>
  <x:sheetData>
    <x:row r="2" ht="26" customHeight="1">
      <x:c r="B2" s="3" t="str">
        <x:v>모아오더 운영 예산과 현금 전망</x:v>
      </x:c>
      <x:c r="C2" s="2"/>
      <x:c r="D2" s="2"/>
      <x:c r="E2" s="2"/>
    </x:row>
    <x:row r="3" ht="26" customHeight="1">
      <x:c r="B3" s="4" t="str">
        <x:v>2026년 4분기  /  가상 전망  /  금액 단위 원</x:v>
      </x:c>
      <x:c r="C3" s="2"/>
      <x:c r="D3" s="2"/>
      <x:c r="E3" s="2"/>
    </x:row>
    <x:row r="4" ht="26" customHeight="1">
      <x:c r="B4" s="2"/>
      <x:c r="C4" s="2"/>
      <x:c r="D4" s="2"/>
      <x:c r="E4" s="2"/>
    </x:row>
    <x:row r="5" ht="30" customHeight="1">
      <x:c r="B5" s="10" t="str">
        <x:v>항목</x:v>
      </x:c>
      <x:c r="C5" s="11" t="d">
        <x:v>2026-10-01T00:00:00.000Z</x:v>
      </x:c>
      <x:c r="D5" s="11" t="d">
        <x:v>2026-11-01T00:00:00.000Z</x:v>
      </x:c>
      <x:c r="E5" s="11" t="d">
        <x:v>2026-12-01T00:00:00.000Z</x:v>
      </x:c>
    </x:row>
    <x:row r="6" ht="26" customHeight="1">
      <x:c r="B6" s="13" t="str">
        <x:v>구분</x:v>
      </x:c>
      <x:c r="C6" s="13" t="str">
        <x:v>10월 전망</x:v>
      </x:c>
      <x:c r="D6" s="13" t="str">
        <x:v>11월 계획</x:v>
      </x:c>
      <x:c r="E6" s="13" t="str">
        <x:v>12월 계획</x:v>
      </x:c>
    </x:row>
    <x:row r="7" ht="26" customHeight="1">
      <x:c r="B7" s="2" t="str">
        <x:v>유료 매장 수</x:v>
      </x:c>
      <x:c r="C7" s="25" t="n">
        <x:f>COUNTIF('고객목록'!$C$6:$C$17,"paid")</x:f>
        <x:v>8</x:v>
      </x:c>
      <x:c r="D7" s="32" t="n">
        <x:v>20</x:v>
      </x:c>
      <x:c r="E7" s="32" t="n">
        <x:v>35</x:v>
      </x:c>
    </x:row>
    <x:row r="8" ht="26" customHeight="1">
      <x:c r="B8" s="2" t="str">
        <x:v>매장당 월 구독료</x:v>
      </x:c>
      <x:c r="C8" s="20" t="n">
        <x:f>$C$28</x:f>
        <x:v>99000</x:v>
      </x:c>
      <x:c r="D8" s="20" t="n">
        <x:f>$C$28</x:f>
        <x:v>99000</x:v>
      </x:c>
      <x:c r="E8" s="20" t="n">
        <x:f>$C$28</x:f>
        <x:v>99000</x:v>
      </x:c>
    </x:row>
    <x:row r="9" ht="26" customHeight="1">
      <x:c r="B9" s="28" t="str">
        <x:v>월 반복매출 MRR</x:v>
      </x:c>
      <x:c r="C9" s="29" t="n">
        <x:f>C7*C8</x:f>
        <x:v>792000</x:v>
      </x:c>
      <x:c r="D9" s="29" t="n">
        <x:f>D7*D8</x:f>
        <x:v>1980000</x:v>
      </x:c>
      <x:c r="E9" s="29" t="n">
        <x:f>E7*E8</x:f>
        <x:v>3465000</x:v>
      </x:c>
    </x:row>
    <x:row r="10" ht="26" customHeight="1">
      <x:c r="B10" s="2" t="str">
        <x:v>월 구독 현금 수입</x:v>
      </x:c>
      <x:c r="C10" s="20" t="n">
        <x:f>C9</x:f>
        <x:v>792000</x:v>
      </x:c>
      <x:c r="D10" s="20" t="n">
        <x:f>D9</x:f>
        <x:v>1980000</x:v>
      </x:c>
      <x:c r="E10" s="20" t="n">
        <x:f>E9</x:f>
        <x:v>3465000</x:v>
      </x:c>
    </x:row>
    <x:row r="11" ht="26" customHeight="1">
      <x:c r="B11" s="2"/>
      <x:c r="C11" s="20"/>
      <x:c r="D11" s="20"/>
      <x:c r="E11" s="20"/>
    </x:row>
    <x:row r="12" ht="26" customHeight="1">
      <x:c r="B12" s="15" t="str">
        <x:v>월 운영 현금 지출</x:v>
      </x:c>
      <x:c r="C12" s="21"/>
      <x:c r="D12" s="21"/>
      <x:c r="E12" s="21"/>
    </x:row>
    <x:row r="13" ht="26" customHeight="1">
      <x:c r="B13" s="2" t="str">
        <x:v>인건비</x:v>
      </x:c>
      <x:c r="C13" s="23" t="n">
        <x:v>14400000</x:v>
      </x:c>
      <x:c r="D13" s="23" t="n">
        <x:v>14400000</x:v>
      </x:c>
      <x:c r="E13" s="23" t="n">
        <x:v>14400000</x:v>
      </x:c>
    </x:row>
    <x:row r="14" ht="26" customHeight="1">
      <x:c r="B14" s="2" t="str">
        <x:v>클라우드</x:v>
      </x:c>
      <x:c r="C14" s="23" t="n">
        <x:v>650000</x:v>
      </x:c>
      <x:c r="D14" s="23" t="n">
        <x:v>800000</x:v>
      </x:c>
      <x:c r="E14" s="23" t="n">
        <x:v>1000000</x:v>
      </x:c>
    </x:row>
    <x:row r="15" ht="26" customHeight="1">
      <x:c r="B15" s="2" t="str">
        <x:v>업무 도구</x:v>
      </x:c>
      <x:c r="C15" s="23" t="n">
        <x:v>250000</x:v>
      </x:c>
      <x:c r="D15" s="23" t="n">
        <x:v>250000</x:v>
      </x:c>
      <x:c r="E15" s="23" t="n">
        <x:v>300000</x:v>
      </x:c>
    </x:row>
    <x:row r="16" ht="26" customHeight="1">
      <x:c r="B16" s="2" t="str">
        <x:v>고객 방문과 교육</x:v>
      </x:c>
      <x:c r="C16" s="23" t="n">
        <x:v>450000</x:v>
      </x:c>
      <x:c r="D16" s="23" t="n">
        <x:v>650000</x:v>
      </x:c>
      <x:c r="E16" s="23" t="n">
        <x:v>850000</x:v>
      </x:c>
    </x:row>
    <x:row r="17" ht="26" customHeight="1">
      <x:c r="B17" s="2" t="str">
        <x:v>마케팅</x:v>
      </x:c>
      <x:c r="C17" s="23" t="n">
        <x:v>300000</x:v>
      </x:c>
      <x:c r="D17" s="23" t="n">
        <x:v>500000</x:v>
      </x:c>
      <x:c r="E17" s="23" t="n">
        <x:v>800000</x:v>
      </x:c>
    </x:row>
    <x:row r="18" ht="26" customHeight="1">
      <x:c r="B18" s="2" t="str">
        <x:v>사무 공간</x:v>
      </x:c>
      <x:c r="C18" s="23" t="n">
        <x:v>400000</x:v>
      </x:c>
      <x:c r="D18" s="23" t="n">
        <x:v>400000</x:v>
      </x:c>
      <x:c r="E18" s="23" t="n">
        <x:v>400000</x:v>
      </x:c>
    </x:row>
    <x:row r="19" ht="26" customHeight="1">
      <x:c r="B19" s="2" t="str">
        <x:v>기타 운영비</x:v>
      </x:c>
      <x:c r="C19" s="23" t="n">
        <x:v>350000</x:v>
      </x:c>
      <x:c r="D19" s="23" t="n">
        <x:v>400000</x:v>
      </x:c>
      <x:c r="E19" s="23" t="n">
        <x:v>450000</x:v>
      </x:c>
    </x:row>
    <x:row r="20" ht="26" customHeight="1">
      <x:c r="B20" s="28" t="str">
        <x:v>운영 지출 합계</x:v>
      </x:c>
      <x:c r="C20" s="29" t="n">
        <x:f>SUM(C13:C19)</x:f>
        <x:v>16800000</x:v>
      </x:c>
      <x:c r="D20" s="29" t="n">
        <x:f>SUM(D13:D19)</x:f>
        <x:v>17400000</x:v>
      </x:c>
      <x:c r="E20" s="29" t="n">
        <x:f>SUM(E13:E19)</x:f>
        <x:v>18200000</x:v>
      </x:c>
    </x:row>
    <x:row r="21" ht="26" customHeight="1">
      <x:c r="B21" s="2"/>
      <x:c r="C21" s="20"/>
      <x:c r="D21" s="20"/>
      <x:c r="E21" s="20"/>
    </x:row>
    <x:row r="22" ht="26" customHeight="1">
      <x:c r="B22" s="2" t="str">
        <x:v>월초 현금</x:v>
      </x:c>
      <x:c r="C22" s="23" t="n">
        <x:v>112008000</x:v>
      </x:c>
      <x:c r="D22" s="20" t="n">
        <x:f>C25</x:f>
        <x:v>96000000</x:v>
      </x:c>
      <x:c r="E22" s="20" t="n">
        <x:f>D25</x:f>
        <x:v>80580000</x:v>
      </x:c>
    </x:row>
    <x:row r="23" ht="26" customHeight="1">
      <x:c r="B23" s="2" t="str">
        <x:v>월 순현금흐름</x:v>
      </x:c>
      <x:c r="C23" s="20" t="n">
        <x:f>C10-C20</x:f>
        <x:v>-16008000</x:v>
      </x:c>
      <x:c r="D23" s="20" t="n">
        <x:f>D10-D20</x:f>
        <x:v>-15420000</x:v>
      </x:c>
      <x:c r="E23" s="20" t="n">
        <x:f>E10-E20</x:f>
        <x:v>-14735000</x:v>
      </x:c>
    </x:row>
    <x:row r="24" ht="26" customHeight="1">
      <x:c r="B24" s="2"/>
      <x:c r="C24" s="20"/>
      <x:c r="D24" s="20"/>
      <x:c r="E24" s="20"/>
    </x:row>
    <x:row r="25" ht="26" customHeight="1">
      <x:c r="B25" s="30" t="str">
        <x:v>월말 예상 현금</x:v>
      </x:c>
      <x:c r="C25" s="31" t="n">
        <x:f>C22+C23</x:f>
        <x:v>96000000</x:v>
      </x:c>
      <x:c r="D25" s="31" t="n">
        <x:f>D22+D23</x:f>
        <x:v>80580000</x:v>
      </x:c>
      <x:c r="E25" s="31" t="n">
        <x:f>E22+E23</x:f>
        <x:v>65845000</x:v>
      </x:c>
    </x:row>
    <x:row r="26" ht="26" customHeight="1">
      <x:c r="B26" s="34" t="str">
        <x:v>동일 수준 단순 런웨이 개월</x:v>
      </x:c>
      <x:c r="C26" s="35" t="n">
        <x:f>IF(C23&gt;=0,"n.a.",C25/-C23)</x:f>
        <x:v>5.997001499250374</x:v>
      </x:c>
      <x:c r="D26" s="35" t="n">
        <x:f>IF(D23&gt;=0,"n.a.",D25/-D23)</x:f>
        <x:v>5.22568093385214</x:v>
      </x:c>
      <x:c r="E26" s="35" t="n">
        <x:f>IF(E23&gt;=0,"n.a.",E25/-E23)</x:f>
        <x:v>4.468612147947065</x:v>
      </x:c>
    </x:row>
    <x:row r="27" ht="26" customHeight="1">
      <x:c r="B27" s="2"/>
      <x:c r="C27" s="2"/>
      <x:c r="D27" s="2"/>
      <x:c r="E27" s="2"/>
    </x:row>
    <x:row r="28" ht="26" customHeight="1">
      <x:c r="B28" s="2" t="str">
        <x:v>구독료 입력</x:v>
      </x:c>
      <x:c r="C28" s="33" t="n">
        <x:v>99000</x:v>
      </x:c>
      <x:c r="D28" s="2"/>
      <x:c r="E28" s="2"/>
    </x:row>
    <x:row r="29" ht="26" customHeight="1">
      <x:c r="B29" s="2"/>
      <x:c r="C29" s="2"/>
      <x:c r="D29" s="2"/>
      <x:c r="E29" s="2"/>
    </x:row>
    <x:row r="30" ht="26" customHeight="1">
      <x:c r="B30" s="4" t="str">
        <x:v>수금 가정</x:v>
      </x:c>
      <x:c r="C30" s="4" t="str">
        <x:v>월초 구독 시작</x:v>
      </x:c>
      <x:c r="D30" s="4" t="str">
        <x:v>당월 전액 수금</x:v>
      </x:c>
      <x:c r="E30" s="4" t="str">
        <x:v>부가세 제외</x:v>
      </x:c>
    </x:row>
    <x:row r="31" ht="26" customHeight="1">
      <x:c r="B31" s="4" t="str">
        <x:v>모형에서 제외</x:v>
      </x:c>
      <x:c r="C31" s="4" t="str">
        <x:v>투자와 차입</x:v>
      </x:c>
      <x:c r="D31" s="4" t="str">
        <x:v>설비 투자</x:v>
      </x:c>
      <x:c r="E31" s="4" t="str">
        <x:v>각종 세금</x:v>
      </x:c>
    </x:row>
    <x:row r="32" ht="26" customHeight="1">
      <x:c r="B32" s="4" t="str">
        <x:v>자료 원천</x:v>
      </x:c>
      <x:c r="C32" s="4" t="str">
        <x:v>가상 고객목록 CSV</x:v>
      </x:c>
      <x:c r="D32" s="4" t="str">
        <x:v>가상 지출계획 CSV</x:v>
      </x:c>
      <x:c r="E32" s="4" t="str">
        <x:v>2026-10-24 작성</x:v>
      </x:c>
    </x:row>
  </x:sheetData>
  <x:conditionalFormatting sqref="C25:E25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8DCC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2" hidden="0" customWidth="1"/>
    <x:col min="4" max="4" width="18" hidden="0" customWidth="1"/>
    <x:col min="5" max="5" width="17" hidden="0" customWidth="1"/>
    <x:col min="6" max="6" width="14" hidden="0" customWidth="1"/>
    <x:col min="7" max="7" width="18" hidden="0" customWidth="1"/>
    <x:col min="8" max="8" width="18" hidden="0" customWidth="1"/>
  </x:cols>
  <x:sheetData>
    <x:row r="2" ht="26" customHeight="1">
      <x:c r="A2" s="3" t="str">
        <x:v>모아오더 고객 현황</x:v>
      </x:c>
      <x:c r="B2" s="2"/>
      <x:c r="C2" s="2"/>
      <x:c r="D2" s="2"/>
      <x:c r="E2" s="2"/>
      <x:c r="F2" s="2"/>
      <x:c r="G2" s="2"/>
      <x:c r="H2" s="2"/>
    </x:row>
    <x:row r="3" ht="26" customHeight="1">
      <x:c r="A3" s="4" t="str">
        <x:v>2026-10-24 기준 가상 매장 12곳  /  paid 유료  pilot 무료 시범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10" t="str">
        <x:v>고객 ID</x:v>
      </x:c>
      <x:c r="B5" s="10" t="str">
        <x:v>매장명</x:v>
      </x:c>
      <x:c r="C5" s="10" t="str">
        <x:v>상태</x:v>
      </x:c>
      <x:c r="D5" s="10" t="str">
        <x:v>월 정가 원</x:v>
      </x:c>
      <x:c r="E5" s="10" t="str">
        <x:v>시작일</x:v>
      </x:c>
      <x:c r="F5" s="10" t="str">
        <x:v>담당자</x:v>
      </x:c>
      <x:c r="G5" s="10" t="str">
        <x:v>최근 7일 발주</x:v>
      </x:c>
      <x:c r="H5" s="10" t="str">
        <x:v>지역</x:v>
      </x:c>
    </x:row>
    <x:row r="6" ht="26" customHeight="1">
      <x:c r="A6" s="2" t="str">
        <x:v>C001</x:v>
      </x:c>
      <x:c r="B6" s="2" t="str">
        <x:v>샘플카페01</x:v>
      </x:c>
      <x:c r="C6" s="2" t="str">
        <x:v>paid</x:v>
      </x:c>
      <x:c r="D6" s="20" t="n">
        <x:v>99000</x:v>
      </x:c>
      <x:c r="E6" s="37" t="d">
        <x:v>2026-10-02T00:00:00.000Z</x:v>
      </x:c>
      <x:c r="F6" s="2" t="str">
        <x:v>김태오</x:v>
      </x:c>
      <x:c r="G6" s="38" t="n">
        <x:v>6</x:v>
      </x:c>
      <x:c r="H6" s="2" t="str">
        <x:v>서울 성북</x:v>
      </x:c>
    </x:row>
    <x:row r="7" ht="26" customHeight="1">
      <x:c r="A7" s="2" t="str">
        <x:v>C002</x:v>
      </x:c>
      <x:c r="B7" s="2" t="str">
        <x:v>샘플카페02</x:v>
      </x:c>
      <x:c r="C7" s="2" t="str">
        <x:v>paid</x:v>
      </x:c>
      <x:c r="D7" s="20" t="n">
        <x:v>99000</x:v>
      </x:c>
      <x:c r="E7" s="37" t="d">
        <x:v>2026-10-03T00:00:00.000Z</x:v>
      </x:c>
      <x:c r="F7" s="2" t="str">
        <x:v>박민재</x:v>
      </x:c>
      <x:c r="G7" s="38" t="n">
        <x:v>4</x:v>
      </x:c>
      <x:c r="H7" s="2" t="str">
        <x:v>서울 마포</x:v>
      </x:c>
    </x:row>
    <x:row r="8" ht="26" customHeight="1">
      <x:c r="A8" s="2" t="str">
        <x:v>C003</x:v>
      </x:c>
      <x:c r="B8" s="2" t="str">
        <x:v>샘플카페03</x:v>
      </x:c>
      <x:c r="C8" s="2" t="str">
        <x:v>paid</x:v>
      </x:c>
      <x:c r="D8" s="20" t="n">
        <x:v>99000</x:v>
      </x:c>
      <x:c r="E8" s="37" t="d">
        <x:v>2026-10-04T00:00:00.000Z</x:v>
      </x:c>
      <x:c r="F8" s="2" t="str">
        <x:v>김태오</x:v>
      </x:c>
      <x:c r="G8" s="38" t="n">
        <x:v>9</x:v>
      </x:c>
      <x:c r="H8" s="2" t="str">
        <x:v>경기 고양</x:v>
      </x:c>
    </x:row>
    <x:row r="9" ht="26" customHeight="1">
      <x:c r="A9" s="2" t="str">
        <x:v>C004</x:v>
      </x:c>
      <x:c r="B9" s="2" t="str">
        <x:v>샘플카페04</x:v>
      </x:c>
      <x:c r="C9" s="2" t="str">
        <x:v>paid</x:v>
      </x:c>
      <x:c r="D9" s="20" t="n">
        <x:v>99000</x:v>
      </x:c>
      <x:c r="E9" s="37" t="d">
        <x:v>2026-10-05T00:00:00.000Z</x:v>
      </x:c>
      <x:c r="F9" s="2" t="str">
        <x:v>박민재</x:v>
      </x:c>
      <x:c r="G9" s="38" t="n">
        <x:v>3</x:v>
      </x:c>
      <x:c r="H9" s="2" t="str">
        <x:v>서울 동대문</x:v>
      </x:c>
    </x:row>
    <x:row r="10" ht="26" customHeight="1">
      <x:c r="A10" s="2" t="str">
        <x:v>C005</x:v>
      </x:c>
      <x:c r="B10" s="2" t="str">
        <x:v>샘플카페05</x:v>
      </x:c>
      <x:c r="C10" s="2" t="str">
        <x:v>paid</x:v>
      </x:c>
      <x:c r="D10" s="20" t="n">
        <x:v>99000</x:v>
      </x:c>
      <x:c r="E10" s="37" t="d">
        <x:v>2026-10-06T00:00:00.000Z</x:v>
      </x:c>
      <x:c r="F10" s="2" t="str">
        <x:v>김태오</x:v>
      </x:c>
      <x:c r="G10" s="38" t="n">
        <x:v>7</x:v>
      </x:c>
      <x:c r="H10" s="2" t="str">
        <x:v>서울 성북</x:v>
      </x:c>
    </x:row>
    <x:row r="11" ht="26" customHeight="1">
      <x:c r="A11" s="2" t="str">
        <x:v>C006</x:v>
      </x:c>
      <x:c r="B11" s="2" t="str">
        <x:v>샘플카페06</x:v>
      </x:c>
      <x:c r="C11" s="2" t="str">
        <x:v>paid</x:v>
      </x:c>
      <x:c r="D11" s="20" t="n">
        <x:v>99000</x:v>
      </x:c>
      <x:c r="E11" s="37" t="d">
        <x:v>2026-10-07T00:00:00.000Z</x:v>
      </x:c>
      <x:c r="F11" s="2" t="str">
        <x:v>박민재</x:v>
      </x:c>
      <x:c r="G11" s="38" t="n">
        <x:v>5</x:v>
      </x:c>
      <x:c r="H11" s="2" t="str">
        <x:v>서울 마포</x:v>
      </x:c>
    </x:row>
    <x:row r="12" ht="26" customHeight="1">
      <x:c r="A12" s="2" t="str">
        <x:v>C007</x:v>
      </x:c>
      <x:c r="B12" s="2" t="str">
        <x:v>샘플카페07</x:v>
      </x:c>
      <x:c r="C12" s="2" t="str">
        <x:v>paid</x:v>
      </x:c>
      <x:c r="D12" s="20" t="n">
        <x:v>99000</x:v>
      </x:c>
      <x:c r="E12" s="37" t="d">
        <x:v>2026-10-08T00:00:00.000Z</x:v>
      </x:c>
      <x:c r="F12" s="2" t="str">
        <x:v>김태오</x:v>
      </x:c>
      <x:c r="G12" s="38" t="n">
        <x:v>8</x:v>
      </x:c>
      <x:c r="H12" s="2" t="str">
        <x:v>경기 고양</x:v>
      </x:c>
    </x:row>
    <x:row r="13" ht="26" customHeight="1">
      <x:c r="A13" s="2" t="str">
        <x:v>C008</x:v>
      </x:c>
      <x:c r="B13" s="2" t="str">
        <x:v>샘플카페08</x:v>
      </x:c>
      <x:c r="C13" s="2" t="str">
        <x:v>paid</x:v>
      </x:c>
      <x:c r="D13" s="20" t="n">
        <x:v>99000</x:v>
      </x:c>
      <x:c r="E13" s="37" t="d">
        <x:v>2026-10-09T00:00:00.000Z</x:v>
      </x:c>
      <x:c r="F13" s="2" t="str">
        <x:v>박민재</x:v>
      </x:c>
      <x:c r="G13" s="38" t="n">
        <x:v>4</x:v>
      </x:c>
      <x:c r="H13" s="2" t="str">
        <x:v>서울 동대문</x:v>
      </x:c>
    </x:row>
    <x:row r="14" ht="26" customHeight="1">
      <x:c r="A14" s="2" t="str">
        <x:v>C009</x:v>
      </x:c>
      <x:c r="B14" s="2" t="str">
        <x:v>샘플카페09</x:v>
      </x:c>
      <x:c r="C14" s="2" t="str">
        <x:v>pilot</x:v>
      </x:c>
      <x:c r="D14" s="20" t="n">
        <x:v>0</x:v>
      </x:c>
      <x:c r="E14" s="37" t="d">
        <x:v>2026-10-10T00:00:00.000Z</x:v>
      </x:c>
      <x:c r="F14" s="2" t="str">
        <x:v>김태오</x:v>
      </x:c>
      <x:c r="G14" s="38" t="n">
        <x:v>2</x:v>
      </x:c>
      <x:c r="H14" s="2" t="str">
        <x:v>서울 성북</x:v>
      </x:c>
    </x:row>
    <x:row r="15" ht="26" customHeight="1">
      <x:c r="A15" s="2" t="str">
        <x:v>C010</x:v>
      </x:c>
      <x:c r="B15" s="2" t="str">
        <x:v>샘플카페10</x:v>
      </x:c>
      <x:c r="C15" s="2" t="str">
        <x:v>pilot</x:v>
      </x:c>
      <x:c r="D15" s="20" t="n">
        <x:v>0</x:v>
      </x:c>
      <x:c r="E15" s="37" t="d">
        <x:v>2026-10-11T00:00:00.000Z</x:v>
      </x:c>
      <x:c r="F15" s="2" t="str">
        <x:v>박민재</x:v>
      </x:c>
      <x:c r="G15" s="38" t="n">
        <x:v>1</x:v>
      </x:c>
      <x:c r="H15" s="2" t="str">
        <x:v>서울 마포</x:v>
      </x:c>
    </x:row>
    <x:row r="16" ht="26" customHeight="1">
      <x:c r="A16" s="2" t="str">
        <x:v>C011</x:v>
      </x:c>
      <x:c r="B16" s="2" t="str">
        <x:v>샘플카페11</x:v>
      </x:c>
      <x:c r="C16" s="2" t="str">
        <x:v>pilot</x:v>
      </x:c>
      <x:c r="D16" s="20" t="n">
        <x:v>0</x:v>
      </x:c>
      <x:c r="E16" s="37" t="d">
        <x:v>2026-10-12T00:00:00.000Z</x:v>
      </x:c>
      <x:c r="F16" s="2" t="str">
        <x:v>김태오</x:v>
      </x:c>
      <x:c r="G16" s="38" t="n">
        <x:v>3</x:v>
      </x:c>
      <x:c r="H16" s="2" t="str">
        <x:v>경기 고양</x:v>
      </x:c>
    </x:row>
    <x:row r="17" ht="26" customHeight="1">
      <x:c r="A17" s="2" t="str">
        <x:v>C012</x:v>
      </x:c>
      <x:c r="B17" s="2" t="str">
        <x:v>샘플카페12</x:v>
      </x:c>
      <x:c r="C17" s="2" t="str">
        <x:v>pilot</x:v>
      </x:c>
      <x:c r="D17" s="20" t="n">
        <x:v>0</x:v>
      </x:c>
      <x:c r="E17" s="37" t="d">
        <x:v>2026-10-13T00:00:00.000Z</x:v>
      </x:c>
      <x:c r="F17" s="2" t="str">
        <x:v>박민재</x:v>
      </x:c>
      <x:c r="G17" s="38" t="n">
        <x:v>2</x:v>
      </x:c>
      <x:c r="H17" s="2" t="str">
        <x:v>서울 동대문</x:v>
      </x:c>
    </x:row>
  </x:sheetData>
  <x:conditionalFormatting sqref="C6:C17">
    <x:cfRule type="containsText" dxfId="1" priority="1" operator="containsText" text="pilot"/>
  </x:conditionalFormatting>
  <x:dataValidations count="1">
    <x:dataValidation type="list" sqref="C6:C17">
      <x:formula1>"paid,pilot"</x:formula1>
    </x:dataValidation>
  </x:dataValidations>
  <x:pageMargins left="0.7" right="0.7" top="0.75" bottom="0.75" header="0.3" footer="0.3"/>
</x:worksheet>
</file>